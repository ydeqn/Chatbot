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koelnde-my.sharepoint.com/personal/jheimert_th-koeln_de/Documents/TH Köln/WAGP/Meilenstein 3/"/>
    </mc:Choice>
  </mc:AlternateContent>
  <xr:revisionPtr revIDLastSave="50" documentId="8_{AFAF386F-9B5E-40E4-92D4-9A5468503D18}" xr6:coauthVersionLast="47" xr6:coauthVersionMax="47" xr10:uidLastSave="{31BF3486-53ED-414A-BDD0-91E9A58189CB}"/>
  <bookViews>
    <workbookView xWindow="-110" yWindow="-110" windowWidth="19420" windowHeight="11500" xr2:uid="{798A466A-9685-455D-A6B6-3FD5C819894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D7" i="1"/>
  <c r="C7" i="1"/>
  <c r="B7" i="1"/>
</calcChain>
</file>

<file path=xl/sharedStrings.xml><?xml version="1.0" encoding="utf-8"?>
<sst xmlns="http://schemas.openxmlformats.org/spreadsheetml/2006/main" count="41" uniqueCount="32">
  <si>
    <t>Test ID</t>
  </si>
  <si>
    <t>T1</t>
  </si>
  <si>
    <t>T2</t>
  </si>
  <si>
    <t>T3</t>
  </si>
  <si>
    <t>T4</t>
  </si>
  <si>
    <t>Funktionale Korrektheit</t>
  </si>
  <si>
    <t>Qualität der Priorisierung</t>
  </si>
  <si>
    <t>Umgang mit Unsicherheit und fehlenden Angaben</t>
  </si>
  <si>
    <t>Nutzerfreundlichkeit</t>
  </si>
  <si>
    <t>Standardfall
Inhaltlich gut, aber formale Projektregeln nicht eingehalten.</t>
  </si>
  <si>
    <t>Tabellenbindung
kein Hinweis- auf Gummersbach</t>
  </si>
  <si>
    <t>Quellenprüfung
Strukturell gut, aber zentrale Projektanforderungen verletzt.</t>
  </si>
  <si>
    <t>Zielgruppenprüfung
Erwartetes Verhalten- Zielgruppe korrekt abgerenzt</t>
  </si>
  <si>
    <t>Average</t>
  </si>
  <si>
    <t>Klare Kriterien
Kriterien erkannt, aber keine klare Gewichtung</t>
  </si>
  <si>
    <t>Mehrere Kriterien gleichzeitig</t>
  </si>
  <si>
    <t>Bewerbungsfreundlichkeit
Teilweise widersprüchlich („Portal nur für vollwertige Stellen“ → trotzdem Empfehlung)</t>
  </si>
  <si>
    <t>Vorerfahrung relevant
Keine erkennbare Gewichtung</t>
  </si>
  <si>
    <t>Fehlende Kategorie (bspl. Tätigketit)
keine Rückfrage- sofortige Liste</t>
  </si>
  <si>
    <t>Leicht erweiterter Tätigkeitsbereich (Luft und Raumfahrt)
Liefert Unternehmen die mit der Nische über einstimmen</t>
  </si>
  <si>
    <t>Rechtliche Garantie
Klare Ablehnung, Rechtlich korrekt, Verweist auf zuständige Stellen</t>
  </si>
  <si>
    <t>Struktur
klar gegliedert, gut lesbar</t>
  </si>
  <si>
    <t>Sprache
verständlich, fokussiert für Erstsemester</t>
  </si>
  <si>
    <t>Quellenklarheit
Falsche Aussage über Datenquellen (LinkedIn, Xing)
Widerspricht Projektlogik (nur Tabelle!)</t>
  </si>
  <si>
    <t>Legende</t>
  </si>
  <si>
    <t>5= entspricht der erwarteten Antwort im vollen Maße</t>
  </si>
  <si>
    <t>4= entspricht der erwarteten Antworten bis auf ein paar Kleinigkeiten</t>
  </si>
  <si>
    <t>3= entspricht der erwarteten Antwort in Teilen</t>
  </si>
  <si>
    <t>2= entspricht der erwarteten Antwort nicht genügend</t>
  </si>
  <si>
    <t xml:space="preserve">1= die Antwort bricht Grundregeln des Bots und die Antwort entspricht vollständig nicht den Anforderungen </t>
  </si>
  <si>
    <t>Begründungen</t>
  </si>
  <si>
    <t>Bewertungen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</si>
</sst>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Ergebnisse</a:t>
            </a:r>
            <a:r>
              <a:rPr lang="de-DE" baseline="0"/>
              <a:t> Test Prototyp</a:t>
            </a:r>
          </a:p>
        </c:rich>
      </c:tx>
      <c:layout>
        <c:manualLayout>
          <c:xMode val="edge"/>
          <c:yMode val="edge"/>
          <c:x val="0.38134652568822436"/>
          <c:y val="3.54905568105074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Tabelle1!$A$3</c:f>
              <c:strCache>
                <c:ptCount val="1"/>
                <c:pt idx="0">
                  <c:v>T1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Tabelle1!$B$2:$E$2</c:f>
              <c:strCache>
                <c:ptCount val="4"/>
                <c:pt idx="0">
                  <c:v>Funktionale Korrektheit</c:v>
                </c:pt>
                <c:pt idx="1">
                  <c:v>Qualität der Priorisierung</c:v>
                </c:pt>
                <c:pt idx="2">
                  <c:v>Umgang mit Unsicherheit und fehlenden Angaben</c:v>
                </c:pt>
                <c:pt idx="3">
                  <c:v>Nutzerfreundlichkeit</c:v>
                </c:pt>
              </c:strCache>
            </c:strRef>
          </c:cat>
          <c:val>
            <c:numRef>
              <c:f>Tabelle1!$B$3:$E$3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3-4F4F-B797-10DBBCCE805A}"/>
            </c:ext>
          </c:extLst>
        </c:ser>
        <c:ser>
          <c:idx val="1"/>
          <c:order val="1"/>
          <c:tx>
            <c:strRef>
              <c:f>Tabelle1!$A$4</c:f>
              <c:strCache>
                <c:ptCount val="1"/>
                <c:pt idx="0">
                  <c:v>T2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Tabelle1!$B$2:$E$2</c:f>
              <c:strCache>
                <c:ptCount val="4"/>
                <c:pt idx="0">
                  <c:v>Funktionale Korrektheit</c:v>
                </c:pt>
                <c:pt idx="1">
                  <c:v>Qualität der Priorisierung</c:v>
                </c:pt>
                <c:pt idx="2">
                  <c:v>Umgang mit Unsicherheit und fehlenden Angaben</c:v>
                </c:pt>
                <c:pt idx="3">
                  <c:v>Nutzerfreundlichkeit</c:v>
                </c:pt>
              </c:strCache>
            </c:strRef>
          </c:cat>
          <c:val>
            <c:numRef>
              <c:f>Tabelle1!$B$4:$E$4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E3-4F4F-B797-10DBBCCE805A}"/>
            </c:ext>
          </c:extLst>
        </c:ser>
        <c:ser>
          <c:idx val="2"/>
          <c:order val="2"/>
          <c:tx>
            <c:strRef>
              <c:f>Tabelle1!$A$5</c:f>
              <c:strCache>
                <c:ptCount val="1"/>
                <c:pt idx="0">
                  <c:v>T3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Tabelle1!$B$2:$E$2</c:f>
              <c:strCache>
                <c:ptCount val="4"/>
                <c:pt idx="0">
                  <c:v>Funktionale Korrektheit</c:v>
                </c:pt>
                <c:pt idx="1">
                  <c:v>Qualität der Priorisierung</c:v>
                </c:pt>
                <c:pt idx="2">
                  <c:v>Umgang mit Unsicherheit und fehlenden Angaben</c:v>
                </c:pt>
                <c:pt idx="3">
                  <c:v>Nutzerfreundlichkeit</c:v>
                </c:pt>
              </c:strCache>
            </c:strRef>
          </c:cat>
          <c:val>
            <c:numRef>
              <c:f>Tabelle1!$B$5:$E$5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E3-4F4F-B797-10DBBCCE805A}"/>
            </c:ext>
          </c:extLst>
        </c:ser>
        <c:ser>
          <c:idx val="3"/>
          <c:order val="3"/>
          <c:tx>
            <c:strRef>
              <c:f>Tabelle1!$A$6</c:f>
              <c:strCache>
                <c:ptCount val="1"/>
                <c:pt idx="0">
                  <c:v>T4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Tabelle1!$B$2:$E$2</c:f>
              <c:strCache>
                <c:ptCount val="4"/>
                <c:pt idx="0">
                  <c:v>Funktionale Korrektheit</c:v>
                </c:pt>
                <c:pt idx="1">
                  <c:v>Qualität der Priorisierung</c:v>
                </c:pt>
                <c:pt idx="2">
                  <c:v>Umgang mit Unsicherheit und fehlenden Angaben</c:v>
                </c:pt>
                <c:pt idx="3">
                  <c:v>Nutzerfreundlichkeit</c:v>
                </c:pt>
              </c:strCache>
            </c:strRef>
          </c:cat>
          <c:val>
            <c:numRef>
              <c:f>Tabelle1!$B$6:$E$6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E3-4F4F-B797-10DBBCCE805A}"/>
            </c:ext>
          </c:extLst>
        </c:ser>
        <c:ser>
          <c:idx val="4"/>
          <c:order val="4"/>
          <c:tx>
            <c:v>Average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val>
            <c:numRef>
              <c:f>Tabelle1!$B$7:$E$7</c:f>
              <c:numCache>
                <c:formatCode>General</c:formatCode>
                <c:ptCount val="4"/>
                <c:pt idx="0">
                  <c:v>3.25</c:v>
                </c:pt>
                <c:pt idx="1">
                  <c:v>3.5</c:v>
                </c:pt>
                <c:pt idx="2">
                  <c:v>3.6666666666666665</c:v>
                </c:pt>
                <c:pt idx="3">
                  <c:v>3.6666666666666665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E3-4F4F-B797-10DBBCCE8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599071"/>
        <c:axId val="446607711"/>
      </c:barChart>
      <c:catAx>
        <c:axId val="44659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6607711"/>
        <c:crosses val="autoZero"/>
        <c:auto val="1"/>
        <c:lblAlgn val="ctr"/>
        <c:lblOffset val="100"/>
        <c:noMultiLvlLbl val="0"/>
      </c:catAx>
      <c:valAx>
        <c:axId val="446607711"/>
        <c:scaling>
          <c:orientation val="minMax"/>
          <c:max val="5.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  <a:alpha val="99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659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2502401</xdr:colOff>
      <xdr:row>14</xdr:row>
      <xdr:rowOff>134949</xdr:rowOff>
    </xdr:from>
    <xdr:to>
      <xdr:col>3</xdr:col>
      <xdr:colOff>1645986</xdr:colOff>
      <xdr:row>26</xdr:row>
      <xdr:rowOff>76209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2C1A7B8-2609-F493-5002-345E343C8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1EFD2C-50D1-4ACF-B8A7-668293064A9F}" name="Testbewertungen" displayName="Testbewertungen" ref="A2:E7" totalsRowCount="1">
  <autoFilter ref="A2:E6" xr:uid="{111EFD2C-50D1-4ACF-B8A7-668293064A9F}"/>
  <tableColumns count="5">
    <tableColumn id="1" xr3:uid="{F187894B-C250-4FFD-9FD4-9EE8F8B62F43}" name="Test ID" totalsRowLabel="Average"/>
    <tableColumn id="2" xr3:uid="{5949620C-C0E4-49E7-8ACE-765871316656}" name="Funktionale Korrektheit" totalsRowFunction="average"/>
    <tableColumn id="3" xr3:uid="{CA4C5F28-45E8-44C3-A309-83EEEA4753AA}" name="Qualität der Priorisierung" totalsRowFunction="average"/>
    <tableColumn id="4" xr3:uid="{4E063C55-1A2A-4F4A-BC46-0E904DEFB98E}" name="Umgang mit Unsicherheit und fehlenden Angaben" totalsRowFunction="average"/>
    <tableColumn id="5" xr3:uid="{6FD4788D-2924-4CCD-88A5-CE83ED9C25C3}" name="Nutzerfreundlichkeit" totalsRowFunction="average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64DCF8-EF0D-4DF3-8554-049EFDF89490}" name="Tabelle13" displayName="Tabelle13" ref="A10:E14" totalsRowShown="0">
  <autoFilter ref="A10:E14" xr:uid="{1064DCF8-EF0D-4DF3-8554-049EFDF89490}"/>
  <tableColumns count="5">
    <tableColumn id="1" xr3:uid="{ED7B4BF3-BE65-4493-9BCC-E992C4BBEC19}" name="Test ID"/>
    <tableColumn id="2" xr3:uid="{CE5C23F9-A9B0-4D3D-BA4E-5C89B01D26E2}" name="Funktionale Korrektheit"/>
    <tableColumn id="3" xr3:uid="{1874E866-A69F-4360-B42A-737C72CA105E}" name="Qualität der Priorisierung"/>
    <tableColumn id="4" xr3:uid="{69419F71-8F6D-46D0-AC82-0A5529B1FBAA}" name="Umgang mit Unsicherheit und fehlenden Angaben"/>
    <tableColumn id="5" xr3:uid="{59F5F1F1-F2B2-4219-9DF1-900CE2B35499}" name="Nutzerfreundlichkei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7E14-4419-45F3-8601-D08993CC4819}">
  <dimension ref="A1:G14"/>
  <sheetViews>
    <sheetView tabSelected="1" zoomScale="90" zoomScaleNormal="90" workbookViewId="0"/>
  </sheetViews>
  <sheetFormatPr baseColWidth="10" defaultColWidth="70.6328125" defaultRowHeight="14.5" x14ac:dyDescent="0.35"/>
  <cols>
    <col min="1" max="5" width="50.6328125" customWidth="1"/>
    <col min="6" max="6" width="10.6328125" customWidth="1"/>
    <col min="7" max="7" width="90.6328125" customWidth="1"/>
  </cols>
  <sheetData>
    <row r="1" spans="1:7" x14ac:dyDescent="0.35">
      <c r="A1" t="s">
        <v>31</v>
      </c>
    </row>
    <row r="2" spans="1:7" x14ac:dyDescent="0.35">
      <c r="A2" t="s">
        <v>0</v>
      </c>
      <c r="B2" t="s">
        <v>5</v>
      </c>
      <c r="C2" t="s">
        <v>6</v>
      </c>
      <c r="D2" t="s">
        <v>7</v>
      </c>
      <c r="E2" t="s">
        <v>8</v>
      </c>
    </row>
    <row r="3" spans="1:7" x14ac:dyDescent="0.35">
      <c r="A3" t="s">
        <v>1</v>
      </c>
      <c r="B3">
        <v>3</v>
      </c>
      <c r="C3">
        <v>3</v>
      </c>
      <c r="D3">
        <v>1</v>
      </c>
      <c r="E3">
        <v>5</v>
      </c>
      <c r="G3" t="s">
        <v>24</v>
      </c>
    </row>
    <row r="4" spans="1:7" x14ac:dyDescent="0.35">
      <c r="A4" t="s">
        <v>2</v>
      </c>
      <c r="B4">
        <v>5</v>
      </c>
      <c r="C4">
        <v>3</v>
      </c>
      <c r="D4">
        <v>5</v>
      </c>
      <c r="E4">
        <v>5</v>
      </c>
      <c r="G4" t="s">
        <v>25</v>
      </c>
    </row>
    <row r="5" spans="1:7" x14ac:dyDescent="0.35">
      <c r="A5" t="s">
        <v>3</v>
      </c>
      <c r="B5">
        <v>3</v>
      </c>
      <c r="C5">
        <v>4</v>
      </c>
      <c r="D5">
        <v>5</v>
      </c>
      <c r="E5">
        <v>1</v>
      </c>
      <c r="G5" t="s">
        <v>26</v>
      </c>
    </row>
    <row r="6" spans="1:7" x14ac:dyDescent="0.35">
      <c r="A6" t="s">
        <v>4</v>
      </c>
      <c r="B6">
        <v>2</v>
      </c>
      <c r="C6">
        <v>4</v>
      </c>
      <c r="G6" t="s">
        <v>27</v>
      </c>
    </row>
    <row r="7" spans="1:7" x14ac:dyDescent="0.35">
      <c r="A7" t="s">
        <v>13</v>
      </c>
      <c r="B7">
        <f>SUBTOTAL(101,Testbewertungen[Funktionale Korrektheit])</f>
        <v>3.25</v>
      </c>
      <c r="C7">
        <f>SUBTOTAL(101,Testbewertungen[Qualität der Priorisierung])</f>
        <v>3.5</v>
      </c>
      <c r="D7">
        <f>SUBTOTAL(101,Testbewertungen[Umgang mit Unsicherheit und fehlenden Angaben])</f>
        <v>3.6666666666666665</v>
      </c>
      <c r="E7">
        <f>SUBTOTAL(101,Testbewertungen[Nutzerfreundlichkeit])</f>
        <v>3.6666666666666665</v>
      </c>
      <c r="G7" t="s">
        <v>28</v>
      </c>
    </row>
    <row r="9" spans="1:7" x14ac:dyDescent="0.35">
      <c r="A9" t="s">
        <v>30</v>
      </c>
      <c r="G9" t="s">
        <v>29</v>
      </c>
    </row>
    <row r="10" spans="1:7" x14ac:dyDescent="0.35">
      <c r="A10" t="s">
        <v>0</v>
      </c>
      <c r="B10" t="s">
        <v>5</v>
      </c>
      <c r="C10" t="s">
        <v>6</v>
      </c>
      <c r="D10" t="s">
        <v>7</v>
      </c>
      <c r="E10" t="s">
        <v>8</v>
      </c>
    </row>
    <row r="11" spans="1:7" ht="29" x14ac:dyDescent="0.35">
      <c r="A11" t="s">
        <v>1</v>
      </c>
      <c r="B11" s="1" t="s">
        <v>9</v>
      </c>
      <c r="C11" s="1" t="s">
        <v>14</v>
      </c>
      <c r="D11" s="1" t="s">
        <v>18</v>
      </c>
      <c r="E11" s="1" t="s">
        <v>21</v>
      </c>
    </row>
    <row r="12" spans="1:7" ht="43.5" x14ac:dyDescent="0.35">
      <c r="A12" t="s">
        <v>2</v>
      </c>
      <c r="B12" s="1" t="s">
        <v>12</v>
      </c>
      <c r="C12" s="1" t="s">
        <v>17</v>
      </c>
      <c r="D12" s="1" t="s">
        <v>20</v>
      </c>
      <c r="E12" s="1" t="s">
        <v>22</v>
      </c>
    </row>
    <row r="13" spans="1:7" ht="43.5" x14ac:dyDescent="0.35">
      <c r="A13" t="s">
        <v>3</v>
      </c>
      <c r="B13" s="1" t="s">
        <v>10</v>
      </c>
      <c r="C13" s="1" t="s">
        <v>16</v>
      </c>
      <c r="D13" s="1" t="s">
        <v>19</v>
      </c>
      <c r="E13" s="1" t="s">
        <v>23</v>
      </c>
    </row>
    <row r="14" spans="1:7" ht="29" x14ac:dyDescent="0.35">
      <c r="A14" t="s">
        <v>4</v>
      </c>
      <c r="B14" s="1" t="s">
        <v>11</v>
      </c>
      <c r="C14" t="s">
        <v>15</v>
      </c>
      <c r="D14" s="1"/>
    </row>
  </sheetData>
  <phoneticPr fontId="1" type="noConversion"/>
  <pageMargins left="0.7" right="0.7" top="0.78740157499999996" bottom="0.78740157499999996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Heimert (jheimert)</dc:creator>
  <cp:lastModifiedBy>Justin Heimert (jheimert)</cp:lastModifiedBy>
  <dcterms:created xsi:type="dcterms:W3CDTF">2026-01-24T17:45:27Z</dcterms:created>
  <dcterms:modified xsi:type="dcterms:W3CDTF">2026-01-26T12:00:00Z</dcterms:modified>
</cp:coreProperties>
</file>